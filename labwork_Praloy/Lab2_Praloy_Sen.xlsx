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6ABD5EE6-26A4-4F35-8969-6ED8C82A93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b2_Praloy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G2" i="1"/>
  <c r="K3" i="1"/>
  <c r="K4" i="1"/>
  <c r="K5" i="1"/>
  <c r="K6" i="1"/>
  <c r="K7" i="1"/>
  <c r="K2" i="1"/>
  <c r="I2" i="1"/>
  <c r="J3" i="1"/>
  <c r="J4" i="1"/>
  <c r="J5" i="1"/>
  <c r="J6" i="1"/>
  <c r="J7" i="1"/>
  <c r="J2" i="1"/>
  <c r="I3" i="1"/>
  <c r="I4" i="1"/>
  <c r="I5" i="1"/>
  <c r="I6" i="1"/>
  <c r="I7" i="1"/>
  <c r="H3" i="1"/>
  <c r="H4" i="1"/>
  <c r="H5" i="1"/>
  <c r="H6" i="1"/>
  <c r="H7" i="1"/>
  <c r="H2" i="1"/>
  <c r="G3" i="1"/>
  <c r="G4" i="1"/>
  <c r="G5" i="1"/>
  <c r="G6" i="1"/>
  <c r="G7" i="1"/>
  <c r="F3" i="1"/>
  <c r="F2" i="1"/>
  <c r="F4" i="1"/>
  <c r="F5" i="1"/>
  <c r="F6" i="1"/>
  <c r="F7" i="1"/>
</calcChain>
</file>

<file path=xl/sharedStrings.xml><?xml version="1.0" encoding="utf-8"?>
<sst xmlns="http://schemas.openxmlformats.org/spreadsheetml/2006/main" count="34" uniqueCount="32">
  <si>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</si>
  <si>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</si>
  <si>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</si>
  <si>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</si>
  <si>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</si>
  <si>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</si>
  <si>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</si>
  <si>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</si>
  <si>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</si>
  <si>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</si>
  <si>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</si>
  <si>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</si>
  <si>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</si>
  <si>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</si>
  <si>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Product Id</t>
  </si>
  <si>
    <t>1.Sales Target</t>
  </si>
  <si>
    <t>2.Regional Bonus</t>
  </si>
  <si>
    <t>3.Commission Rate</t>
  </si>
  <si>
    <t>4.Bonus Amount</t>
  </si>
  <si>
    <t>5.Sales Performance</t>
  </si>
  <si>
    <t>6.Sales Value</t>
  </si>
  <si>
    <t>7.Year-End Bonus</t>
  </si>
  <si>
    <t>8.High Performers</t>
  </si>
  <si>
    <t>Questions</t>
  </si>
  <si>
    <t>Use the IF function to evaluate whether each product met its sales target.</t>
  </si>
  <si>
    <t>Use the IF function to determine if a product is eligible for a regional bonus. Products in the "North" region with sales over 200 are eligible.</t>
  </si>
  <si>
    <t>Use nested IF functions to assign a commission rate based on sales. Sales &gt;= 200 get a 10% commission, sales &gt;= 150 get a 7% commission, and others get a 5% commission.</t>
  </si>
  <si>
    <t>Use the IF function to calculate a bonus amount. If sales met or exceeded the target, the bonus is 10% of the sales; otherwise, it's 5%.</t>
  </si>
  <si>
    <t>Use the IF function to categorize sales performance as "Excellent" (&gt;=200), "Good" (&gt;=150), or "Needs Improvement" (&lt;150).</t>
  </si>
  <si>
    <t>Use the IF function to assign a price tier based on the sales value. "High" for sales &gt; 200, "Medium" for sales between 100 and 200, and "Low" for sales &lt; 100.</t>
  </si>
  <si>
    <t>Use the IF function to calculate the year-end bonus. If sales &gt;= 150 and region is "North", the bonus is $500, otherwise, it's $300.</t>
  </si>
  <si>
    <t>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</si>
</sst>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E20" sqref="E20"/>
    </sheetView>
  </sheetViews>
  <sheetFormatPr defaultRowHeight="15" x14ac:dyDescent="0.25"/>
  <cols>
    <col min="1" max="1" width="11.140625" customWidth="1"/>
    <col min="6" max="6" width="13.28515625" bestFit="1" customWidth="1"/>
    <col min="7" max="7" width="16.28515625" bestFit="1" customWidth="1"/>
    <col min="8" max="8" width="18.140625" bestFit="1" customWidth="1"/>
    <col min="9" max="9" width="15.7109375" bestFit="1" customWidth="1"/>
    <col min="10" max="10" width="19.5703125" bestFit="1" customWidth="1"/>
    <col min="11" max="11" width="12.7109375" bestFit="1" customWidth="1"/>
    <col min="12" max="12" width="16.42578125" bestFit="1" customWidth="1"/>
    <col min="13" max="13" width="17.28515625" bestFit="1" customWidth="1"/>
  </cols>
  <sheetData>
    <row r="1" spans="1:13" ht="17.25" customHeight="1" x14ac:dyDescent="0.25">
      <c r="A1" s="2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x14ac:dyDescent="0.25">
      <c r="A2" s="4">
        <v>101</v>
      </c>
      <c r="B2" s="4" t="s">
        <v>4</v>
      </c>
      <c r="C2" s="4">
        <v>120</v>
      </c>
      <c r="D2" s="4">
        <v>150</v>
      </c>
      <c r="E2" s="4" t="s">
        <v>5</v>
      </c>
      <c r="F2" s="4" t="str">
        <f>IF(C2&gt;=D2,"Met","Not Met")</f>
        <v>Not Met</v>
      </c>
      <c r="G2" s="5" t="str">
        <f>IF(AND(E2="North",C2&gt;=200),"Eligible","Not Elidgble")</f>
        <v>Not Elidgble</v>
      </c>
      <c r="H2" s="5" t="str">
        <f>IF(C2&gt;=200,"10%",IF(C2&gt;=150,"7%","5%"))</f>
        <v>5%</v>
      </c>
      <c r="I2" s="5" t="str">
        <f>IF(C2&gt;=D2,"10%","5%")</f>
        <v>5%</v>
      </c>
      <c r="J2" s="5" t="str">
        <f>IF(C2&gt;=200,"Excellent",IF(C2&gt;=150,"Good",IF(C2&lt;150,"Needs Improvement")))</f>
        <v>Needs Improvement</v>
      </c>
      <c r="K2" s="5" t="str">
        <f>IF(AND(C2&gt;200),"High",IF(AND(C2&gt;=100,C2&lt;=200),"Medium","Low"))</f>
        <v>Medium</v>
      </c>
      <c r="L2" s="5" t="str">
        <f>IF(AND(E2="North",C2&gt;=150),"$500","$300")</f>
        <v>$300</v>
      </c>
      <c r="M2" s="5" t="str">
        <f>IF(C2&gt;=PERCENTILE($C$2:$C$7,0.75),"High","Low")</f>
        <v>Low</v>
      </c>
    </row>
    <row r="3" spans="1:13" x14ac:dyDescent="0.25">
      <c r="A3" s="4">
        <v>102</v>
      </c>
      <c r="B3" s="4" t="s">
        <v>6</v>
      </c>
      <c r="C3" s="4">
        <v>150</v>
      </c>
      <c r="D3" s="4">
        <v>140</v>
      </c>
      <c r="E3" s="4" t="s">
        <v>7</v>
      </c>
      <c r="F3" s="4" t="str">
        <f t="shared" ref="F3:F7" si="0">IF(C3&gt;=D3,"Met","Not Met")</f>
        <v>Met</v>
      </c>
      <c r="G3" s="5" t="str">
        <f t="shared" ref="G3:G7" si="1">IF(AND(E3="North",C3&gt;=200),"Eligible","Not Elidgble")</f>
        <v>Not Elidgble</v>
      </c>
      <c r="H3" s="5" t="str">
        <f t="shared" ref="H3:H7" si="2">IF(C3&gt;=200,"10%",IF(C3&gt;=150,"7%","5%"))</f>
        <v>7%</v>
      </c>
      <c r="I3" s="5" t="str">
        <f t="shared" ref="I3:I7" si="3">IF(C3&gt;=D3,"10%","5%")</f>
        <v>10%</v>
      </c>
      <c r="J3" s="5" t="str">
        <f t="shared" ref="J3:J7" si="4">IF(C3&gt;=200,"Excellent",IF(C3&gt;=150,"Good",IF(C3&lt;150,"Needs Improvement")))</f>
        <v>Good</v>
      </c>
      <c r="K3" s="5" t="str">
        <f t="shared" ref="K3:K7" si="5">IF(AND(C3&gt;200),"High",IF(AND(C3&gt;=100,C3&lt;=200),"Medium","Low"))</f>
        <v>Medium</v>
      </c>
      <c r="L3" s="5" t="str">
        <f t="shared" ref="L3:L7" si="6">IF(AND(E3="North",C3&gt;=150),"$500","$300")</f>
        <v>$300</v>
      </c>
      <c r="M3" s="5" t="str">
        <f t="shared" ref="M3:M7" si="7">IF(C3&gt;=PERCENTILE($C$2:$C$7,0.75),"High","Low")</f>
        <v>Low</v>
      </c>
    </row>
    <row r="4" spans="1:13" x14ac:dyDescent="0.25">
      <c r="A4" s="4">
        <v>103</v>
      </c>
      <c r="B4" s="4" t="s">
        <v>8</v>
      </c>
      <c r="C4" s="4">
        <v>200</v>
      </c>
      <c r="D4" s="4">
        <v>200</v>
      </c>
      <c r="E4" s="4" t="s">
        <v>9</v>
      </c>
      <c r="F4" s="4" t="str">
        <f t="shared" si="0"/>
        <v>Met</v>
      </c>
      <c r="G4" s="5" t="str">
        <f t="shared" si="1"/>
        <v>Not Elidgble</v>
      </c>
      <c r="H4" s="5" t="str">
        <f t="shared" si="2"/>
        <v>10%</v>
      </c>
      <c r="I4" s="5" t="str">
        <f t="shared" si="3"/>
        <v>10%</v>
      </c>
      <c r="J4" s="5" t="str">
        <f t="shared" si="4"/>
        <v>Excellent</v>
      </c>
      <c r="K4" s="5" t="str">
        <f t="shared" si="5"/>
        <v>Medium</v>
      </c>
      <c r="L4" s="5" t="str">
        <f t="shared" si="6"/>
        <v>$300</v>
      </c>
      <c r="M4" s="5" t="str">
        <f t="shared" si="7"/>
        <v>High</v>
      </c>
    </row>
    <row r="5" spans="1:13" x14ac:dyDescent="0.25">
      <c r="A5" s="4">
        <v>104</v>
      </c>
      <c r="B5" s="4" t="s">
        <v>10</v>
      </c>
      <c r="C5" s="4">
        <v>90</v>
      </c>
      <c r="D5" s="4">
        <v>100</v>
      </c>
      <c r="E5" s="4" t="s">
        <v>11</v>
      </c>
      <c r="F5" s="4" t="str">
        <f t="shared" si="0"/>
        <v>Not Met</v>
      </c>
      <c r="G5" s="5" t="str">
        <f t="shared" si="1"/>
        <v>Not Elidgble</v>
      </c>
      <c r="H5" s="5" t="str">
        <f t="shared" si="2"/>
        <v>5%</v>
      </c>
      <c r="I5" s="5" t="str">
        <f t="shared" si="3"/>
        <v>5%</v>
      </c>
      <c r="J5" s="5" t="str">
        <f t="shared" si="4"/>
        <v>Needs Improvement</v>
      </c>
      <c r="K5" s="5" t="str">
        <f t="shared" si="5"/>
        <v>Low</v>
      </c>
      <c r="L5" s="5" t="str">
        <f t="shared" si="6"/>
        <v>$300</v>
      </c>
      <c r="M5" s="5" t="str">
        <f t="shared" si="7"/>
        <v>Low</v>
      </c>
    </row>
    <row r="6" spans="1:13" x14ac:dyDescent="0.25">
      <c r="A6" s="4">
        <v>105</v>
      </c>
      <c r="B6" s="4" t="s">
        <v>12</v>
      </c>
      <c r="C6" s="4">
        <v>220</v>
      </c>
      <c r="D6" s="4">
        <v>210</v>
      </c>
      <c r="E6" s="4" t="s">
        <v>5</v>
      </c>
      <c r="F6" s="4" t="str">
        <f t="shared" si="0"/>
        <v>Met</v>
      </c>
      <c r="G6" s="5" t="str">
        <f t="shared" si="1"/>
        <v>Eligible</v>
      </c>
      <c r="H6" s="5" t="str">
        <f t="shared" si="2"/>
        <v>10%</v>
      </c>
      <c r="I6" s="5" t="str">
        <f t="shared" si="3"/>
        <v>10%</v>
      </c>
      <c r="J6" s="5" t="str">
        <f t="shared" si="4"/>
        <v>Excellent</v>
      </c>
      <c r="K6" s="5" t="str">
        <f t="shared" si="5"/>
        <v>High</v>
      </c>
      <c r="L6" s="5" t="str">
        <f t="shared" si="6"/>
        <v>$500</v>
      </c>
      <c r="M6" s="5" t="str">
        <f t="shared" si="7"/>
        <v>High</v>
      </c>
    </row>
    <row r="7" spans="1:13" x14ac:dyDescent="0.25">
      <c r="A7" s="4">
        <v>106</v>
      </c>
      <c r="B7" s="4" t="s">
        <v>13</v>
      </c>
      <c r="C7" s="4">
        <v>130</v>
      </c>
      <c r="D7" s="4">
        <v>160</v>
      </c>
      <c r="E7" s="4" t="s">
        <v>7</v>
      </c>
      <c r="F7" s="4" t="str">
        <f t="shared" si="0"/>
        <v>Not Met</v>
      </c>
      <c r="G7" s="5" t="str">
        <f t="shared" si="1"/>
        <v>Not Elidgble</v>
      </c>
      <c r="H7" s="5" t="str">
        <f t="shared" si="2"/>
        <v>5%</v>
      </c>
      <c r="I7" s="5" t="str">
        <f t="shared" si="3"/>
        <v>5%</v>
      </c>
      <c r="J7" s="5" t="str">
        <f t="shared" si="4"/>
        <v>Needs Improvement</v>
      </c>
      <c r="K7" s="5" t="str">
        <f t="shared" si="5"/>
        <v>Medium</v>
      </c>
      <c r="L7" s="5" t="str">
        <f t="shared" si="6"/>
        <v>$300</v>
      </c>
      <c r="M7" s="5" t="str">
        <f t="shared" si="7"/>
        <v>Low</v>
      </c>
    </row>
    <row r="10" spans="1:13" x14ac:dyDescent="0.25">
      <c r="A10" s="1" t="s">
        <v>23</v>
      </c>
    </row>
    <row r="11" spans="1:13" x14ac:dyDescent="0.25">
      <c r="A11" s="6">
        <v>1</v>
      </c>
      <c r="B11" s="7" t="s">
        <v>24</v>
      </c>
      <c r="C11" s="7"/>
      <c r="D11" s="7"/>
      <c r="E11" s="7"/>
      <c r="F11" s="7"/>
      <c r="G11" s="7"/>
      <c r="H11" s="6"/>
      <c r="I11" s="6"/>
      <c r="J11" s="6"/>
      <c r="K11" s="6"/>
      <c r="L11" s="6"/>
      <c r="M11" s="6"/>
    </row>
    <row r="12" spans="1:13" x14ac:dyDescent="0.25">
      <c r="A12" s="6">
        <v>2</v>
      </c>
      <c r="B12" s="8" t="s">
        <v>25</v>
      </c>
      <c r="C12" s="8"/>
      <c r="D12" s="8"/>
      <c r="E12" s="8"/>
      <c r="F12" s="8"/>
      <c r="G12" s="8"/>
      <c r="H12" s="8"/>
      <c r="I12" s="8"/>
      <c r="J12" s="8"/>
      <c r="K12" s="8"/>
      <c r="L12" s="6"/>
      <c r="M12" s="6"/>
    </row>
    <row r="13" spans="1:13" x14ac:dyDescent="0.25">
      <c r="A13" s="6">
        <v>3</v>
      </c>
      <c r="B13" s="8" t="s">
        <v>26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25">
      <c r="A14" s="6">
        <v>4</v>
      </c>
      <c r="B14" s="7" t="s">
        <v>27</v>
      </c>
      <c r="C14" s="7"/>
      <c r="D14" s="7"/>
      <c r="E14" s="7"/>
      <c r="F14" s="7"/>
      <c r="G14" s="7"/>
      <c r="H14" s="7"/>
      <c r="I14" s="7"/>
      <c r="J14" s="7"/>
      <c r="K14" s="6"/>
      <c r="L14" s="6"/>
      <c r="M14" s="6"/>
    </row>
    <row r="15" spans="1:13" x14ac:dyDescent="0.25">
      <c r="A15" s="6">
        <v>5</v>
      </c>
      <c r="B15" s="9" t="s">
        <v>28</v>
      </c>
      <c r="C15" s="9"/>
      <c r="D15" s="9"/>
      <c r="E15" s="9"/>
      <c r="F15" s="9"/>
      <c r="G15" s="9"/>
      <c r="H15" s="9"/>
      <c r="I15" s="9"/>
      <c r="J15" s="9"/>
      <c r="K15" s="6"/>
      <c r="L15" s="6"/>
      <c r="M15" s="6"/>
    </row>
    <row r="16" spans="1:13" x14ac:dyDescent="0.25">
      <c r="A16" s="6">
        <v>6</v>
      </c>
      <c r="B16" s="7" t="s">
        <v>29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6"/>
    </row>
    <row r="17" spans="1:13" x14ac:dyDescent="0.25">
      <c r="A17" s="6">
        <v>7</v>
      </c>
      <c r="B17" s="7" t="s">
        <v>30</v>
      </c>
      <c r="C17" s="7"/>
      <c r="D17" s="7"/>
      <c r="E17" s="7"/>
      <c r="F17" s="7"/>
      <c r="G17" s="7"/>
      <c r="H17" s="7"/>
      <c r="I17" s="7"/>
      <c r="J17" s="7"/>
      <c r="K17" s="6"/>
      <c r="L17" s="6"/>
      <c r="M17" s="6"/>
    </row>
    <row r="18" spans="1:13" x14ac:dyDescent="0.25">
      <c r="A18" s="6">
        <v>8</v>
      </c>
      <c r="B18" s="7" t="s">
        <v>31</v>
      </c>
      <c r="C18" s="7"/>
      <c r="D18" s="7"/>
      <c r="E18" s="7"/>
      <c r="F18" s="7"/>
      <c r="G18" s="7"/>
      <c r="H18" s="7"/>
      <c r="I18" s="7"/>
      <c r="J18" s="7"/>
      <c r="K18" s="6"/>
      <c r="L18" s="6"/>
      <c r="M18" s="6"/>
    </row>
  </sheetData>
  <mergeCells count="8">
    <mergeCell ref="B17:J17"/>
    <mergeCell ref="B18:J18"/>
    <mergeCell ref="B13:M13"/>
    <mergeCell ref="B11:G11"/>
    <mergeCell ref="B12:K12"/>
    <mergeCell ref="B14:J14"/>
    <mergeCell ref="B15:J15"/>
    <mergeCell ref="B16:L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Lab2_Praloy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BIKI</dc:creator>
  <cp:lastModifiedBy>Anudip</cp:lastModifiedBy>
  <dcterms:created xsi:type="dcterms:W3CDTF">2026-05-18T12:28:10Z</dcterms:created>
  <dcterms:modified xsi:type="dcterms:W3CDTF">2026-05-19T05:16:46Z</dcterms:modified>
</cp:coreProperties>
</file>