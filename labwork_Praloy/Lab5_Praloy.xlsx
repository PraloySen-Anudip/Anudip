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040" activeTab="1"/>
  </bookViews>
  <sheets>
    <sheet name="Products" sheetId="1" r:id="rId1"/>
    <sheet name="Order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2"/>
  <c r="L2"/>
  <c r="K3"/>
  <c r="K4"/>
  <c r="K5"/>
  <c r="K6"/>
  <c r="K7"/>
  <c r="K8"/>
  <c r="K2"/>
  <c r="I3"/>
  <c r="I4"/>
  <c r="I5"/>
  <c r="I6"/>
  <c r="I7"/>
  <c r="I8"/>
  <c r="I2"/>
  <c r="H3"/>
  <c r="H4"/>
  <c r="H5"/>
  <c r="H6"/>
  <c r="H7"/>
  <c r="H8"/>
  <c r="H2"/>
  <c r="G3" l="1"/>
  <c r="G4"/>
  <c r="G5"/>
  <c r="G6"/>
  <c r="G7"/>
  <c r="G8"/>
  <c r="G2"/>
  <c r="F3"/>
  <c r="F4"/>
  <c r="F5"/>
  <c r="F6"/>
  <c r="F7"/>
  <c r="F8"/>
  <c r="J5" s="1"/>
  <c r="F2"/>
  <c r="E3"/>
  <c r="E4"/>
  <c r="E5"/>
  <c r="E6"/>
  <c r="E7"/>
  <c r="E2"/>
  <c r="D3"/>
  <c r="D4"/>
  <c r="D5"/>
  <c r="D6"/>
  <c r="D7"/>
  <c r="D2"/>
  <c r="J4" l="1"/>
  <c r="J6"/>
  <c r="J7"/>
  <c r="J3"/>
  <c r="J8"/>
  <c r="J2"/>
</calcChain>
</file>

<file path=xl/sharedStrings.xml><?xml version="1.0" encoding="utf-8"?>
<sst xmlns="http://schemas.openxmlformats.org/spreadsheetml/2006/main" count="37" uniqueCount="29">
  <si>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</si>
  <si>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</si>
  <si>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</si>
  <si>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</si>
  <si>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</si>
  <si>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</si>
  <si>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</si>
  <si>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</si>
  <si>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</si>
  <si>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</si>
  <si>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</si>
  <si>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 xml:space="preserve">1. Use VLOOKUP to find the product names for each ProductID in the Orders worksheet. 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</si>
  <si>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</si>
  <si>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</si>
  <si>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 xml:space="preserve">4. Assume a discount of 10% is given on all products. Use VLOOKUP to find the original price and then calculate the discounted price. </t>
  </si>
  <si>
    <t>5. Use VLOOKUP to find the price for each ProductID and then calculate the order value. Find the maximum order value from the list.</t>
  </si>
  <si>
    <t>6. Use VLOOKUP to find out which products from the Products worksheet have not been ordered</t>
  </si>
  <si>
    <t xml:space="preserve">7. Use VLOOKUP to find the Product name and summarize the total quantity sold for each product. </t>
  </si>
  <si>
    <t>Product G</t>
  </si>
  <si>
    <t>1.ProductName</t>
  </si>
  <si>
    <t>2.ProductPrice</t>
  </si>
  <si>
    <t>3.Product Exist or not</t>
  </si>
  <si>
    <t>2.TotalPrice</t>
  </si>
  <si>
    <t>4.Original Price(Before discount)</t>
  </si>
  <si>
    <t>4.Discounted Price(after 10% off)</t>
  </si>
  <si>
    <t>5.Maximum Value</t>
  </si>
  <si>
    <t>6.Check un ordered product</t>
  </si>
  <si>
    <t>7.Product Name</t>
  </si>
  <si>
    <t>7.Total Quantity Sold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</si>
</sst>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2" fillId="2" borderId="1" xfId="0" applyFont="1" applyFill="1" applyBorder="1"/>
    <xf numFmtId="0" fontId="0" fillId="4" borderId="1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Fill="1" applyAlignment="1"/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selection sqref="A1:C1"/>
    </sheetView>
  </sheetViews>
  <sheetFormatPr defaultRowHeight="15"/>
  <cols>
    <col min="1" max="1" width="11.7109375" bestFit="1" customWidth="1"/>
    <col min="2" max="2" width="9.5703125" bestFit="1" customWidth="1"/>
    <col min="3" max="3" width="10.5703125" bestFit="1" customWidth="1"/>
    <col min="4" max="4" width="5.5703125" bestFit="1" customWidth="1"/>
  </cols>
  <sheetData>
    <row r="1" spans="1:8">
      <c r="A1" s="2" t="s">
        <v>0</v>
      </c>
      <c r="B1" s="2" t="s">
        <v>1</v>
      </c>
      <c r="C1" s="2" t="s">
        <v>2</v>
      </c>
      <c r="H1" t="s">
        <v>11</v>
      </c>
    </row>
    <row r="2" spans="1:8">
      <c r="A2" s="1">
        <v>101</v>
      </c>
      <c r="B2" s="1" t="s">
        <v>3</v>
      </c>
      <c r="C2" s="1">
        <v>120</v>
      </c>
      <c r="H2" t="s">
        <v>12</v>
      </c>
    </row>
    <row r="3" spans="1:8">
      <c r="A3" s="1">
        <v>102</v>
      </c>
      <c r="B3" s="1" t="s">
        <v>4</v>
      </c>
      <c r="C3" s="1">
        <v>150</v>
      </c>
      <c r="H3" t="s">
        <v>13</v>
      </c>
    </row>
    <row r="4" spans="1:8">
      <c r="A4" s="1">
        <v>103</v>
      </c>
      <c r="B4" s="1" t="s">
        <v>5</v>
      </c>
      <c r="C4" s="1">
        <v>200</v>
      </c>
      <c r="H4" t="s">
        <v>14</v>
      </c>
    </row>
    <row r="5" spans="1:8">
      <c r="A5" s="1">
        <v>104</v>
      </c>
      <c r="B5" s="1" t="s">
        <v>6</v>
      </c>
      <c r="C5" s="1">
        <v>90</v>
      </c>
      <c r="H5" t="s">
        <v>15</v>
      </c>
    </row>
    <row r="6" spans="1:8">
      <c r="A6" s="1">
        <v>105</v>
      </c>
      <c r="B6" s="1" t="s">
        <v>7</v>
      </c>
      <c r="C6" s="1">
        <v>220</v>
      </c>
      <c r="H6" t="s">
        <v>16</v>
      </c>
    </row>
    <row r="7" spans="1:8">
      <c r="A7" s="1">
        <v>106</v>
      </c>
      <c r="B7" s="1" t="s">
        <v>8</v>
      </c>
      <c r="C7" s="1">
        <v>130</v>
      </c>
      <c r="H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tabSelected="1" topLeftCell="E1" workbookViewId="0">
      <selection activeCell="M3" sqref="M3"/>
    </sheetView>
  </sheetViews>
  <sheetFormatPr defaultRowHeight="15"/>
  <cols>
    <col min="1" max="1" width="8" customWidth="1"/>
    <col min="2" max="2" width="9.7109375" bestFit="1" customWidth="1"/>
    <col min="3" max="3" width="8.7109375" bestFit="1" customWidth="1"/>
    <col min="4" max="4" width="14.85546875" bestFit="1" customWidth="1"/>
    <col min="5" max="5" width="14" bestFit="1" customWidth="1"/>
    <col min="6" max="6" width="11.42578125" bestFit="1" customWidth="1"/>
    <col min="7" max="7" width="20" bestFit="1" customWidth="1"/>
    <col min="8" max="8" width="30.5703125" bestFit="1" customWidth="1"/>
    <col min="9" max="9" width="30.85546875" bestFit="1" customWidth="1"/>
    <col min="10" max="10" width="17.42578125" bestFit="1" customWidth="1"/>
    <col min="11" max="11" width="26" bestFit="1" customWidth="1"/>
    <col min="12" max="12" width="15.28515625" bestFit="1" customWidth="1"/>
    <col min="13" max="13" width="19.7109375" bestFit="1" customWidth="1"/>
  </cols>
  <sheetData>
    <row r="1" spans="1:13">
      <c r="A1" s="3" t="s">
        <v>9</v>
      </c>
      <c r="B1" s="3" t="s">
        <v>0</v>
      </c>
      <c r="C1" s="3" t="s">
        <v>10</v>
      </c>
      <c r="D1" s="3" t="s">
        <v>19</v>
      </c>
      <c r="E1" s="3" t="s">
        <v>20</v>
      </c>
      <c r="F1" s="3" t="s">
        <v>22</v>
      </c>
      <c r="G1" s="3" t="s">
        <v>21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4" t="s">
        <v>28</v>
      </c>
    </row>
    <row r="2" spans="1:13">
      <c r="A2" s="5">
        <v>1</v>
      </c>
      <c r="B2" s="5">
        <v>101</v>
      </c>
      <c r="C2" s="5">
        <v>2</v>
      </c>
      <c r="D2" s="5" t="str">
        <f>VLOOKUP(B2,Products!$A$1:$C$7,2,)</f>
        <v>Product A</v>
      </c>
      <c r="E2" s="5">
        <f>VLOOKUP(B2,Products!$A$2:$C$7,3,0)</f>
        <v>120</v>
      </c>
      <c r="F2" s="5">
        <f>E2*C2</f>
        <v>240</v>
      </c>
      <c r="G2" s="5" t="str">
        <f>IF(ISNA(VLOOKUP(B2,Products!$A$1:$C$7,1,0)),"Not Exist","Exist")</f>
        <v>Exist</v>
      </c>
      <c r="H2" s="5">
        <f>VLOOKUP(B2,Products!$A$1:$C$7,3,0)/0.9</f>
        <v>133.33333333333334</v>
      </c>
      <c r="I2" s="5">
        <f>VLOOKUP(B2,Products!$A$1:$C$7,3,0)*0.9</f>
        <v>108</v>
      </c>
      <c r="J2" s="5">
        <f>MAX(F2:F8)</f>
        <v>880</v>
      </c>
      <c r="K2" s="5" t="str">
        <f>IF(ISNA(VLOOKUP(A2,Order!$B$2:$B$8,1,0)),"Not Ordered","ordered")</f>
        <v>Not Ordered</v>
      </c>
      <c r="L2" s="5" t="str">
        <f>VLOOKUP(B2,Products!A:C,2,0)</f>
        <v>Product A</v>
      </c>
      <c r="M2" s="5">
        <f>SUMIF(D2:D8,L2,F2:F8)</f>
        <v>240</v>
      </c>
    </row>
    <row r="3" spans="1:13">
      <c r="A3" s="5">
        <v>2</v>
      </c>
      <c r="B3" s="5">
        <v>103</v>
      </c>
      <c r="C3" s="5">
        <v>1</v>
      </c>
      <c r="D3" s="5" t="str">
        <f>VLOOKUP(B3,Products!$A$1:$C$7,2,)</f>
        <v>Product C</v>
      </c>
      <c r="E3" s="5">
        <f>VLOOKUP(B3,Products!$A$2:$C$7,3,0)</f>
        <v>200</v>
      </c>
      <c r="F3" s="5">
        <f t="shared" ref="F3:F8" si="0">E3*C3</f>
        <v>200</v>
      </c>
      <c r="G3" s="5" t="str">
        <f>IF(ISNA(VLOOKUP(B3,Products!$A$1:$C$7,1,0)),"Not Exist","Exist")</f>
        <v>Exist</v>
      </c>
      <c r="H3" s="5">
        <f>VLOOKUP(B3,Products!$A$1:$C$7,3,0)/0.9</f>
        <v>222.22222222222223</v>
      </c>
      <c r="I3" s="5">
        <f>VLOOKUP(B3,Products!$A$1:$C$7,3,0)*0.9</f>
        <v>180</v>
      </c>
      <c r="J3" s="5">
        <f t="shared" ref="J3:J8" si="1">MAX(F3:F9)</f>
        <v>880</v>
      </c>
      <c r="K3" s="5" t="str">
        <f>IF(ISNA(VLOOKUP(A3,Order!$B$2:$B$8,1,0)),"Not Ordered","ordered")</f>
        <v>Not Ordered</v>
      </c>
      <c r="L3" s="5"/>
      <c r="M3" s="5"/>
    </row>
    <row r="4" spans="1:13">
      <c r="A4" s="5">
        <v>3</v>
      </c>
      <c r="B4" s="5">
        <v>105</v>
      </c>
      <c r="C4" s="5">
        <v>4</v>
      </c>
      <c r="D4" s="5" t="str">
        <f>VLOOKUP(B4,Products!$A$1:$C$7,2,)</f>
        <v>Product E</v>
      </c>
      <c r="E4" s="5">
        <f>VLOOKUP(B4,Products!$A$2:$C$7,3,0)</f>
        <v>220</v>
      </c>
      <c r="F4" s="5">
        <f t="shared" si="0"/>
        <v>880</v>
      </c>
      <c r="G4" s="5" t="str">
        <f>IF(ISNA(VLOOKUP(B4,Products!$A$1:$C$7,1,0)),"Not Exist","Exist")</f>
        <v>Exist</v>
      </c>
      <c r="H4" s="5">
        <f>VLOOKUP(B4,Products!$A$1:$C$7,3,0)/0.9</f>
        <v>244.44444444444443</v>
      </c>
      <c r="I4" s="5">
        <f>VLOOKUP(B4,Products!$A$1:$C$7,3,0)*0.9</f>
        <v>198</v>
      </c>
      <c r="J4" s="5">
        <f t="shared" si="1"/>
        <v>880</v>
      </c>
      <c r="K4" s="5" t="str">
        <f>IF(ISNA(VLOOKUP(A4,Order!$B$2:$B$8,1,0)),"Not Ordered","ordered")</f>
        <v>Not Ordered</v>
      </c>
      <c r="L4" s="5"/>
      <c r="M4" s="5"/>
    </row>
    <row r="5" spans="1:13">
      <c r="A5" s="5">
        <v>4</v>
      </c>
      <c r="B5" s="5">
        <v>106</v>
      </c>
      <c r="C5" s="5">
        <v>3</v>
      </c>
      <c r="D5" s="5" t="str">
        <f>VLOOKUP(B5,Products!$A$1:$C$7,2,)</f>
        <v>Product F</v>
      </c>
      <c r="E5" s="5">
        <f>VLOOKUP(B5,Products!$A$2:$C$7,3,0)</f>
        <v>130</v>
      </c>
      <c r="F5" s="5">
        <f t="shared" si="0"/>
        <v>390</v>
      </c>
      <c r="G5" s="5" t="str">
        <f>IF(ISNA(VLOOKUP(B5,Products!$A$1:$C$7,1,0)),"Not Exist","Exist")</f>
        <v>Exist</v>
      </c>
      <c r="H5" s="5">
        <f>VLOOKUP(B5,Products!$A$1:$C$7,3,0)/0.9</f>
        <v>144.44444444444443</v>
      </c>
      <c r="I5" s="5">
        <f>VLOOKUP(B5,Products!$A$1:$C$7,3,0)*0.9</f>
        <v>117</v>
      </c>
      <c r="J5" s="5">
        <f t="shared" si="1"/>
        <v>750</v>
      </c>
      <c r="K5" s="5" t="str">
        <f>IF(ISNA(VLOOKUP(A5,Order!$B$2:$B$8,1,0)),"Not Ordered","ordered")</f>
        <v>Not Ordered</v>
      </c>
      <c r="L5" s="5"/>
      <c r="M5" s="5"/>
    </row>
    <row r="6" spans="1:13">
      <c r="A6" s="5">
        <v>5</v>
      </c>
      <c r="B6" s="5">
        <v>102</v>
      </c>
      <c r="C6" s="5">
        <v>5</v>
      </c>
      <c r="D6" s="5" t="str">
        <f>VLOOKUP(B6,Products!$A$1:$C$7,2,)</f>
        <v>Product B</v>
      </c>
      <c r="E6" s="5">
        <f>VLOOKUP(B6,Products!$A$2:$C$7,3,0)</f>
        <v>150</v>
      </c>
      <c r="F6" s="5">
        <f t="shared" si="0"/>
        <v>750</v>
      </c>
      <c r="G6" s="5" t="str">
        <f>IF(ISNA(VLOOKUP(B6,Products!$A$1:$C$7,1,0)),"Not Exist","Exist")</f>
        <v>Exist</v>
      </c>
      <c r="H6" s="5">
        <f>VLOOKUP(B6,Products!$A$1:$C$7,3,0)/0.9</f>
        <v>166.66666666666666</v>
      </c>
      <c r="I6" s="5">
        <f>VLOOKUP(B6,Products!$A$1:$C$7,3,0)*0.9</f>
        <v>135</v>
      </c>
      <c r="J6" s="5">
        <f t="shared" si="1"/>
        <v>750</v>
      </c>
      <c r="K6" s="5" t="str">
        <f>IF(ISNA(VLOOKUP(A6,Order!$B$2:$B$8,1,0)),"Not Ordered","ordered")</f>
        <v>Not Ordered</v>
      </c>
      <c r="L6" s="5"/>
      <c r="M6" s="5"/>
    </row>
    <row r="7" spans="1:13">
      <c r="A7" s="5">
        <v>6</v>
      </c>
      <c r="B7" s="5">
        <v>104</v>
      </c>
      <c r="C7" s="5">
        <v>6</v>
      </c>
      <c r="D7" s="5" t="str">
        <f>VLOOKUP(B7,Products!$A$1:$C$7,2,)</f>
        <v>Product D</v>
      </c>
      <c r="E7" s="5">
        <f>VLOOKUP(B7,Products!$A$2:$C$7,3,0)</f>
        <v>90</v>
      </c>
      <c r="F7" s="5">
        <f t="shared" si="0"/>
        <v>540</v>
      </c>
      <c r="G7" s="5" t="str">
        <f>IF(ISNA(VLOOKUP(B7,Products!$A$1:$C$7,1,0)),"Not Exist","Exist")</f>
        <v>Exist</v>
      </c>
      <c r="H7" s="5">
        <f>VLOOKUP(B7,Products!$A$1:$C$7,3,0)/0.9</f>
        <v>100</v>
      </c>
      <c r="I7" s="5">
        <f>VLOOKUP(B7,Products!$A$1:$C$7,3,0)*0.9</f>
        <v>81</v>
      </c>
      <c r="J7" s="5">
        <f t="shared" si="1"/>
        <v>588</v>
      </c>
      <c r="K7" s="5" t="str">
        <f>IF(ISNA(VLOOKUP(A7,Order!$B$2:$B$8,1,0)),"Not Ordered","ordered")</f>
        <v>Not Ordered</v>
      </c>
      <c r="L7" s="5"/>
      <c r="M7" s="5"/>
    </row>
    <row r="8" spans="1:13">
      <c r="A8" s="5">
        <v>7</v>
      </c>
      <c r="B8" s="5">
        <v>155</v>
      </c>
      <c r="C8" s="5">
        <v>6</v>
      </c>
      <c r="D8" s="5" t="s">
        <v>18</v>
      </c>
      <c r="E8" s="5">
        <v>98</v>
      </c>
      <c r="F8" s="5">
        <f t="shared" si="0"/>
        <v>588</v>
      </c>
      <c r="G8" s="5" t="str">
        <f>IF(ISNA(VLOOKUP(B8,Products!$A$1:$C$7,1,0)),"Not Exist","Exist")</f>
        <v>Not Exist</v>
      </c>
      <c r="H8" s="5" t="e">
        <f>VLOOKUP(B8,Products!$A$1:$C$7,3,0)/0.9</f>
        <v>#N/A</v>
      </c>
      <c r="I8" s="5" t="e">
        <f>VLOOKUP(B8,Products!$A$1:$C$7,3,0)*0.9</f>
        <v>#N/A</v>
      </c>
      <c r="J8" s="5">
        <f t="shared" si="1"/>
        <v>588</v>
      </c>
      <c r="K8" s="5" t="str">
        <f>IF(ISNA(VLOOKUP(A8,Order!$B$2:$B$8,1,0)),"Not Ordered","ordered")</f>
        <v>Not Ordered</v>
      </c>
      <c r="L8" s="5"/>
      <c r="M8" s="5"/>
    </row>
    <row r="10" spans="1:13">
      <c r="A10" s="8" t="s">
        <v>11</v>
      </c>
      <c r="B10" s="8"/>
      <c r="C10" s="8"/>
      <c r="D10" s="8"/>
      <c r="E10" s="8"/>
      <c r="F10" s="8"/>
      <c r="G10" s="8"/>
      <c r="H10" s="6"/>
      <c r="I10" s="6"/>
    </row>
    <row r="11" spans="1:13">
      <c r="A11" s="7" t="s">
        <v>12</v>
      </c>
      <c r="B11" s="7"/>
      <c r="C11" s="7"/>
      <c r="D11" s="7"/>
      <c r="E11" s="7"/>
      <c r="F11" s="7"/>
      <c r="G11" s="7"/>
      <c r="H11" s="7"/>
      <c r="I11" s="7"/>
    </row>
    <row r="12" spans="1:13">
      <c r="A12" s="7" t="s">
        <v>13</v>
      </c>
      <c r="B12" s="7"/>
      <c r="C12" s="7"/>
      <c r="D12" s="7"/>
      <c r="E12" s="7"/>
      <c r="F12" s="7"/>
      <c r="G12" s="7"/>
      <c r="H12" s="7"/>
      <c r="I12" s="6"/>
    </row>
    <row r="13" spans="1:13">
      <c r="A13" s="9" t="s">
        <v>14</v>
      </c>
      <c r="B13" s="9"/>
      <c r="C13" s="9"/>
      <c r="D13" s="9"/>
      <c r="E13" s="9"/>
      <c r="F13" s="9"/>
      <c r="G13" s="9"/>
      <c r="H13" s="9"/>
      <c r="I13" s="9"/>
    </row>
    <row r="14" spans="1:13">
      <c r="A14" s="7" t="s">
        <v>15</v>
      </c>
      <c r="B14" s="7"/>
      <c r="C14" s="7"/>
      <c r="D14" s="7"/>
      <c r="E14" s="7"/>
      <c r="F14" s="7"/>
      <c r="G14" s="7"/>
      <c r="H14" s="7"/>
      <c r="I14" s="7"/>
    </row>
    <row r="15" spans="1:13">
      <c r="A15" s="7" t="s">
        <v>16</v>
      </c>
      <c r="B15" s="7"/>
      <c r="C15" s="7"/>
      <c r="D15" s="7"/>
      <c r="E15" s="7"/>
      <c r="F15" s="7"/>
      <c r="G15" s="7"/>
      <c r="H15" s="7"/>
      <c r="I15" s="6"/>
    </row>
    <row r="16" spans="1:13">
      <c r="A16" s="7" t="s">
        <v>17</v>
      </c>
      <c r="B16" s="7"/>
      <c r="C16" s="7"/>
      <c r="D16" s="7"/>
      <c r="E16" s="7"/>
      <c r="F16" s="7"/>
      <c r="G16" s="7"/>
      <c r="H16" s="7"/>
      <c r="I16" s="6"/>
    </row>
  </sheetData>
  <mergeCells count="7">
    <mergeCell ref="A16:H16"/>
    <mergeCell ref="A10:G10"/>
    <mergeCell ref="A11:I11"/>
    <mergeCell ref="A12:H12"/>
    <mergeCell ref="A13:I13"/>
    <mergeCell ref="A14:I14"/>
    <mergeCell ref="A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BIKI</cp:lastModifiedBy>
  <dcterms:created xsi:type="dcterms:W3CDTF">2026-05-21T06:21:43Z</dcterms:created>
  <dcterms:modified xsi:type="dcterms:W3CDTF">2026-05-22T05:25:30Z</dcterms:modified>
</cp:coreProperties>
</file>